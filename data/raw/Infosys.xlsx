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b0ea2c442fdb605/Documents/"/>
    </mc:Choice>
  </mc:AlternateContent>
  <xr:revisionPtr revIDLastSave="0" documentId="8_{69B267EE-3C5E-4AC1-A89E-31C1847C2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A1" i="1"/>
  <c r="E1" i="6"/>
  <c r="H1" i="1" s="1"/>
  <c r="E1" i="2"/>
  <c r="E1" i="3"/>
  <c r="H16" i="2"/>
  <c r="D16" i="2"/>
  <c r="K23" i="2"/>
  <c r="K16" i="2"/>
  <c r="C16" i="2"/>
  <c r="F16" i="2"/>
  <c r="B23" i="2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L12" i="1"/>
  <c r="L6" i="1"/>
  <c r="L4" i="1"/>
  <c r="A1" i="3"/>
  <c r="A1" i="2"/>
  <c r="A1" i="4"/>
  <c r="H23" i="1"/>
  <c r="I23" i="1"/>
  <c r="J23" i="1"/>
  <c r="L5" i="1"/>
  <c r="D24" i="2" l="1"/>
  <c r="E24" i="2"/>
  <c r="F24" i="2"/>
  <c r="G24" i="2"/>
  <c r="H24" i="2"/>
  <c r="I24" i="2"/>
  <c r="J24" i="2"/>
  <c r="I23" i="2"/>
  <c r="K24" i="2"/>
  <c r="E16" i="2"/>
  <c r="J16" i="2"/>
  <c r="C24" i="2"/>
  <c r="F23" i="2"/>
  <c r="C23" i="2"/>
  <c r="G23" i="2"/>
  <c r="K21" i="2"/>
  <c r="I21" i="2"/>
  <c r="G21" i="2"/>
  <c r="L8" i="1"/>
  <c r="F20" i="2"/>
  <c r="K24" i="1"/>
  <c r="C14" i="1"/>
  <c r="D14" i="1"/>
  <c r="E14" i="1"/>
  <c r="F14" i="1"/>
  <c r="G14" i="1"/>
  <c r="H14" i="1"/>
  <c r="I14" i="1"/>
  <c r="K25" i="1" s="1"/>
  <c r="M25" i="1" s="1"/>
  <c r="M14" i="1" s="1"/>
  <c r="J14" i="1"/>
  <c r="K14" i="1"/>
  <c r="B14" i="1"/>
  <c r="B20" i="2"/>
  <c r="E6" i="1"/>
  <c r="E19" i="1" s="1"/>
  <c r="H23" i="2"/>
  <c r="D23" i="2"/>
  <c r="I6" i="1"/>
  <c r="I19" i="1" s="1"/>
  <c r="J6" i="1"/>
  <c r="J19" i="1" s="1"/>
  <c r="K6" i="1"/>
  <c r="K19" i="1" s="1"/>
  <c r="G6" i="1"/>
  <c r="G19" i="1" s="1"/>
  <c r="D6" i="1"/>
  <c r="D19" i="1" s="1"/>
  <c r="B6" i="1"/>
  <c r="B19" i="1" s="1"/>
  <c r="J21" i="2"/>
  <c r="H21" i="2"/>
  <c r="F21" i="2"/>
  <c r="E21" i="2"/>
  <c r="D21" i="2"/>
  <c r="C21" i="2"/>
  <c r="B16" i="2"/>
  <c r="L13" i="1"/>
  <c r="L14" i="1" s="1"/>
  <c r="L25" i="1" s="1"/>
  <c r="G20" i="2"/>
  <c r="K20" i="2"/>
  <c r="D20" i="2"/>
  <c r="L23" i="1"/>
  <c r="J20" i="2"/>
  <c r="C20" i="2"/>
  <c r="E20" i="2"/>
  <c r="L11" i="1"/>
  <c r="L10" i="1"/>
  <c r="L19" i="1"/>
  <c r="L24" i="1" s="1"/>
  <c r="J25" i="1"/>
  <c r="M24" i="1"/>
  <c r="M9" i="1"/>
  <c r="N9" i="1"/>
  <c r="N8" i="1"/>
  <c r="M8" i="1"/>
  <c r="H25" i="1"/>
  <c r="I25" i="1"/>
  <c r="I20" i="2"/>
  <c r="H20" i="2"/>
  <c r="K23" i="1"/>
  <c r="H6" i="1"/>
  <c r="H19" i="1" s="1"/>
  <c r="F6" i="1"/>
  <c r="F19" i="1" s="1"/>
  <c r="E1" i="4"/>
  <c r="M11" i="1" l="1"/>
  <c r="N11" i="1"/>
  <c r="I24" i="1"/>
  <c r="N23" i="1"/>
  <c r="N4" i="1" s="1"/>
  <c r="J24" i="1"/>
  <c r="N24" i="1" s="1"/>
  <c r="M23" i="1"/>
  <c r="M4" i="1" s="1"/>
  <c r="H24" i="1"/>
  <c r="N25" i="1"/>
  <c r="N14" i="1" s="1"/>
  <c r="M6" i="1"/>
  <c r="M10" i="1" s="1"/>
  <c r="M12" i="1" s="1"/>
  <c r="M13" i="1" s="1"/>
  <c r="M15" i="1" s="1"/>
  <c r="N6" i="1" l="1"/>
  <c r="N10" i="1" s="1"/>
  <c r="N12" i="1" s="1"/>
  <c r="N13" i="1" s="1"/>
  <c r="N15" i="1" s="1"/>
  <c r="M5" i="1"/>
  <c r="N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<sst xmlns="http://schemas.openxmlformats.org/spreadsheetml/2006/main" count="145" uniqueCount="93">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</sst>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68484</v>
      </c>
      <c r="C4" s="1">
        <f>'Data Sheet'!C17</f>
        <v>70522</v>
      </c>
      <c r="D4" s="1">
        <f>'Data Sheet'!D17</f>
        <v>82675</v>
      </c>
      <c r="E4" s="1">
        <f>'Data Sheet'!E17</f>
        <v>90791</v>
      </c>
      <c r="F4" s="1">
        <f>'Data Sheet'!F17</f>
        <v>100472</v>
      </c>
      <c r="G4" s="1">
        <f>'Data Sheet'!G17</f>
        <v>121641</v>
      </c>
      <c r="H4" s="1">
        <f>'Data Sheet'!H17</f>
        <v>146767</v>
      </c>
      <c r="I4" s="1">
        <f>'Data Sheet'!I17</f>
        <v>153670</v>
      </c>
      <c r="J4" s="1">
        <f>'Data Sheet'!J17</f>
        <v>162990</v>
      </c>
      <c r="K4" s="1">
        <f>'Data Sheet'!K17</f>
        <v>178650</v>
      </c>
      <c r="L4" s="1">
        <f>SUM(Quarters!H4:K4)</f>
        <v>178650</v>
      </c>
      <c r="M4" s="1">
        <f>$K4+M23*K4</f>
        <v>195814.60519050248</v>
      </c>
      <c r="N4" s="1">
        <f>$K4+N23*L4</f>
        <v>190748.53963085247</v>
      </c>
    </row>
    <row r="5" spans="1:14" x14ac:dyDescent="0.35">
      <c r="A5" t="s">
        <v>7</v>
      </c>
      <c r="B5" s="6">
        <f>SUM('Data Sheet'!B18,'Data Sheet'!B20:B24, -1*'Data Sheet'!B19)</f>
        <v>49880</v>
      </c>
      <c r="C5" s="6">
        <f>SUM('Data Sheet'!C18,'Data Sheet'!C20:C24, -1*'Data Sheet'!C19)</f>
        <v>51700</v>
      </c>
      <c r="D5" s="6">
        <f>SUM('Data Sheet'!D18,'Data Sheet'!D20:D24, -1*'Data Sheet'!D19)</f>
        <v>62505</v>
      </c>
      <c r="E5" s="6">
        <f>SUM('Data Sheet'!E18,'Data Sheet'!E20:E24, -1*'Data Sheet'!E19)</f>
        <v>68524</v>
      </c>
      <c r="F5" s="6">
        <f>SUM('Data Sheet'!F18,'Data Sheet'!F20:F24, -1*'Data Sheet'!F19)</f>
        <v>72583</v>
      </c>
      <c r="G5" s="6">
        <f>SUM('Data Sheet'!G18,'Data Sheet'!G20:G24, -1*'Data Sheet'!G19)</f>
        <v>90150</v>
      </c>
      <c r="H5" s="6">
        <f>SUM('Data Sheet'!H18,'Data Sheet'!H20:H24, -1*'Data Sheet'!H19)</f>
        <v>111637</v>
      </c>
      <c r="I5" s="6">
        <f>SUM('Data Sheet'!I18,'Data Sheet'!I20:I24, -1*'Data Sheet'!I19)</f>
        <v>117245</v>
      </c>
      <c r="J5" s="6">
        <f>SUM('Data Sheet'!J18,'Data Sheet'!J20:J24, -1*'Data Sheet'!J19)</f>
        <v>123754</v>
      </c>
      <c r="K5" s="6">
        <f>SUM('Data Sheet'!K18,'Data Sheet'!K20:K24, -1*'Data Sheet'!K19)</f>
        <v>136370</v>
      </c>
      <c r="L5" s="6">
        <f>SUM(Quarters!H5:K5)</f>
        <v>136371</v>
      </c>
      <c r="M5" s="6">
        <f t="shared" ref="M5:N5" si="0">M4-M6</f>
        <v>149188.10794479161</v>
      </c>
      <c r="N5" s="6">
        <f t="shared" si="0"/>
        <v>145606.32016792041</v>
      </c>
    </row>
    <row r="6" spans="1:14" s="2" customFormat="1" x14ac:dyDescent="0.35">
      <c r="A6" s="2" t="s">
        <v>8</v>
      </c>
      <c r="B6" s="1">
        <f>B4-B5</f>
        <v>18604</v>
      </c>
      <c r="C6" s="1">
        <f t="shared" ref="C6:K6" si="1">C4-C5</f>
        <v>18822</v>
      </c>
      <c r="D6" s="1">
        <f t="shared" si="1"/>
        <v>20170</v>
      </c>
      <c r="E6" s="1">
        <f t="shared" si="1"/>
        <v>22267</v>
      </c>
      <c r="F6" s="1">
        <f t="shared" si="1"/>
        <v>27889</v>
      </c>
      <c r="G6" s="1">
        <f t="shared" si="1"/>
        <v>31491</v>
      </c>
      <c r="H6" s="1">
        <f t="shared" si="1"/>
        <v>35130</v>
      </c>
      <c r="I6" s="1">
        <f t="shared" si="1"/>
        <v>36425</v>
      </c>
      <c r="J6" s="1">
        <f t="shared" si="1"/>
        <v>39236</v>
      </c>
      <c r="K6" s="1">
        <f t="shared" si="1"/>
        <v>42280</v>
      </c>
      <c r="L6" s="1">
        <f>SUM(Quarters!H6:K6)</f>
        <v>42279</v>
      </c>
      <c r="M6" s="1">
        <f>M4*M24</f>
        <v>46626.497245710874</v>
      </c>
      <c r="N6" s="1">
        <f>N4*N24</f>
        <v>45142.219462932051</v>
      </c>
    </row>
    <row r="7" spans="1:14" x14ac:dyDescent="0.35">
      <c r="A7" t="s">
        <v>9</v>
      </c>
      <c r="B7" s="6">
        <f>'Data Sheet'!B25</f>
        <v>3050</v>
      </c>
      <c r="C7" s="6">
        <f>'Data Sheet'!C25</f>
        <v>3311</v>
      </c>
      <c r="D7" s="6">
        <f>'Data Sheet'!D25</f>
        <v>2882</v>
      </c>
      <c r="E7" s="6">
        <f>'Data Sheet'!E25</f>
        <v>2803</v>
      </c>
      <c r="F7" s="6">
        <f>'Data Sheet'!F25</f>
        <v>2201</v>
      </c>
      <c r="G7" s="6">
        <f>'Data Sheet'!G25</f>
        <v>2295</v>
      </c>
      <c r="H7" s="6">
        <f>'Data Sheet'!H25</f>
        <v>2701</v>
      </c>
      <c r="I7" s="6">
        <f>'Data Sheet'!I25</f>
        <v>4711</v>
      </c>
      <c r="J7" s="6">
        <f>'Data Sheet'!J25</f>
        <v>3600</v>
      </c>
      <c r="K7" s="6">
        <f>'Data Sheet'!K25</f>
        <v>3033</v>
      </c>
      <c r="L7" s="6">
        <f>SUM(Quarters!H7:K7)</f>
        <v>3033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1703</v>
      </c>
      <c r="C8" s="6">
        <f>'Data Sheet'!C26</f>
        <v>1863</v>
      </c>
      <c r="D8" s="6">
        <f>'Data Sheet'!D26</f>
        <v>2011</v>
      </c>
      <c r="E8" s="6">
        <f>'Data Sheet'!E26</f>
        <v>2893</v>
      </c>
      <c r="F8" s="6">
        <f>'Data Sheet'!F26</f>
        <v>3267</v>
      </c>
      <c r="G8" s="6">
        <f>'Data Sheet'!G26</f>
        <v>3476</v>
      </c>
      <c r="H8" s="6">
        <f>'Data Sheet'!H26</f>
        <v>4225</v>
      </c>
      <c r="I8" s="6">
        <f>'Data Sheet'!I26</f>
        <v>4678</v>
      </c>
      <c r="J8" s="6">
        <f>'Data Sheet'!J26</f>
        <v>4812</v>
      </c>
      <c r="K8" s="6">
        <f>'Data Sheet'!K26</f>
        <v>4902</v>
      </c>
      <c r="L8" s="6">
        <f>SUM(Quarters!H8:K8)</f>
        <v>4901</v>
      </c>
      <c r="M8" s="6">
        <f>+$L8</f>
        <v>4901</v>
      </c>
      <c r="N8" s="6">
        <f>+$L8</f>
        <v>4901</v>
      </c>
    </row>
    <row r="9" spans="1:14" x14ac:dyDescent="0.3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170</v>
      </c>
      <c r="F9" s="6">
        <f>'Data Sheet'!F27</f>
        <v>195</v>
      </c>
      <c r="G9" s="6">
        <f>'Data Sheet'!G27</f>
        <v>200</v>
      </c>
      <c r="H9" s="6">
        <f>'Data Sheet'!H27</f>
        <v>284</v>
      </c>
      <c r="I9" s="6">
        <f>'Data Sheet'!I27</f>
        <v>470</v>
      </c>
      <c r="J9" s="6">
        <f>'Data Sheet'!J27</f>
        <v>416</v>
      </c>
      <c r="K9" s="6">
        <f>'Data Sheet'!K27</f>
        <v>416</v>
      </c>
      <c r="L9" s="6">
        <f>SUM(Quarters!H9:K9)</f>
        <v>416</v>
      </c>
      <c r="M9" s="6">
        <f>+$L9</f>
        <v>416</v>
      </c>
      <c r="N9" s="6">
        <f>+$L9</f>
        <v>416</v>
      </c>
    </row>
    <row r="10" spans="1:14" x14ac:dyDescent="0.35">
      <c r="A10" t="s">
        <v>12</v>
      </c>
      <c r="B10" s="6">
        <f>'Data Sheet'!B28</f>
        <v>19951</v>
      </c>
      <c r="C10" s="6">
        <f>'Data Sheet'!C28</f>
        <v>20270</v>
      </c>
      <c r="D10" s="6">
        <f>'Data Sheet'!D28</f>
        <v>21041</v>
      </c>
      <c r="E10" s="6">
        <f>'Data Sheet'!E28</f>
        <v>22007</v>
      </c>
      <c r="F10" s="6">
        <f>'Data Sheet'!F28</f>
        <v>26628</v>
      </c>
      <c r="G10" s="6">
        <f>'Data Sheet'!G28</f>
        <v>30110</v>
      </c>
      <c r="H10" s="6">
        <f>'Data Sheet'!H28</f>
        <v>33322</v>
      </c>
      <c r="I10" s="6">
        <f>'Data Sheet'!I28</f>
        <v>35988</v>
      </c>
      <c r="J10" s="6">
        <f>'Data Sheet'!J28</f>
        <v>37608</v>
      </c>
      <c r="K10" s="6">
        <f>'Data Sheet'!K28</f>
        <v>39995</v>
      </c>
      <c r="L10" s="6">
        <f>SUM(Quarters!H10:K10)</f>
        <v>39995</v>
      </c>
      <c r="M10" s="6">
        <f>M6+M7-SUM(M8:M9)</f>
        <v>41309.497245710874</v>
      </c>
      <c r="N10" s="6">
        <f>N6+N7-SUM(N8:N9)</f>
        <v>39825.219462932051</v>
      </c>
    </row>
    <row r="11" spans="1:14" x14ac:dyDescent="0.35">
      <c r="A11" t="s">
        <v>13</v>
      </c>
      <c r="B11" s="6">
        <f>'Data Sheet'!B29</f>
        <v>5598</v>
      </c>
      <c r="C11" s="6">
        <f>'Data Sheet'!C29</f>
        <v>4241</v>
      </c>
      <c r="D11" s="6">
        <f>'Data Sheet'!D29</f>
        <v>5631</v>
      </c>
      <c r="E11" s="6">
        <f>'Data Sheet'!E29</f>
        <v>5368</v>
      </c>
      <c r="F11" s="6">
        <f>'Data Sheet'!F29</f>
        <v>7205</v>
      </c>
      <c r="G11" s="6">
        <f>'Data Sheet'!G29</f>
        <v>7964</v>
      </c>
      <c r="H11" s="6">
        <f>'Data Sheet'!H29</f>
        <v>9214</v>
      </c>
      <c r="I11" s="6">
        <f>'Data Sheet'!I29</f>
        <v>9740</v>
      </c>
      <c r="J11" s="6">
        <f>'Data Sheet'!J29</f>
        <v>10858</v>
      </c>
      <c r="K11" s="6">
        <f>'Data Sheet'!K29</f>
        <v>10521</v>
      </c>
      <c r="L11" s="6">
        <f>SUM(Quarters!H11:K11)</f>
        <v>10521</v>
      </c>
      <c r="M11" s="7">
        <f>IF($L10&gt;0,$L11/$L10,0)</f>
        <v>0.26305788223527943</v>
      </c>
      <c r="N11" s="7">
        <f>IF($L10&gt;0,$L11/$L10,0)</f>
        <v>0.26305788223527943</v>
      </c>
    </row>
    <row r="12" spans="1:14" s="2" customFormat="1" x14ac:dyDescent="0.35">
      <c r="A12" s="2" t="s">
        <v>14</v>
      </c>
      <c r="B12" s="1">
        <f>'Data Sheet'!B30</f>
        <v>14353</v>
      </c>
      <c r="C12" s="1">
        <f>'Data Sheet'!C30</f>
        <v>16029</v>
      </c>
      <c r="D12" s="1">
        <f>'Data Sheet'!D30</f>
        <v>15404</v>
      </c>
      <c r="E12" s="1">
        <f>'Data Sheet'!E30</f>
        <v>16594</v>
      </c>
      <c r="F12" s="1">
        <f>'Data Sheet'!F30</f>
        <v>19351</v>
      </c>
      <c r="G12" s="1">
        <f>'Data Sheet'!G30</f>
        <v>22110</v>
      </c>
      <c r="H12" s="1">
        <f>'Data Sheet'!H30</f>
        <v>24095</v>
      </c>
      <c r="I12" s="1">
        <f>'Data Sheet'!I30</f>
        <v>26233</v>
      </c>
      <c r="J12" s="1">
        <f>'Data Sheet'!J30</f>
        <v>26713</v>
      </c>
      <c r="K12" s="1">
        <f>'Data Sheet'!K30</f>
        <v>29440</v>
      </c>
      <c r="L12" s="1">
        <f>SUM(Quarters!H12:K12)</f>
        <v>29440</v>
      </c>
      <c r="M12" s="1">
        <f>M10-M11*M10</f>
        <v>30442.708384050064</v>
      </c>
      <c r="N12" s="1">
        <f>N10-N11*N10</f>
        <v>29348.881571457914</v>
      </c>
    </row>
    <row r="13" spans="1:14" x14ac:dyDescent="0.35">
      <c r="A13" t="s">
        <v>57</v>
      </c>
      <c r="B13" s="6">
        <f>IF('Data Sheet'!B93&gt;0,B12/'Data Sheet'!B93,0)</f>
        <v>31.243605650971944</v>
      </c>
      <c r="C13" s="6">
        <f>IF('Data Sheet'!C93&gt;0,C12/'Data Sheet'!C93,0)</f>
        <v>36.694748408955633</v>
      </c>
      <c r="D13" s="6">
        <f>IF('Data Sheet'!D93&gt;0,D12/'Data Sheet'!D93,0)</f>
        <v>35.258303005333154</v>
      </c>
      <c r="E13" s="6">
        <f>IF('Data Sheet'!E93&gt;0,E12/'Data Sheet'!E93,0)</f>
        <v>38.962197698990373</v>
      </c>
      <c r="F13" s="6">
        <f>IF('Data Sheet'!F93&gt;0,F12/'Data Sheet'!F93,0)</f>
        <v>45.417419672823712</v>
      </c>
      <c r="G13" s="6">
        <f>IF('Data Sheet'!G93&gt;0,G12/'Data Sheet'!G93,0)</f>
        <v>52.559013003066532</v>
      </c>
      <c r="H13" s="6">
        <f>IF('Data Sheet'!H93&gt;0,H12/'Data Sheet'!H93,0)</f>
        <v>58.079834160921756</v>
      </c>
      <c r="I13" s="6">
        <f>IF('Data Sheet'!I93&gt;0,I12/'Data Sheet'!I93,0)</f>
        <v>63.198342528126432</v>
      </c>
      <c r="J13" s="6">
        <f>IF('Data Sheet'!J93&gt;0,J12/'Data Sheet'!J93,0)</f>
        <v>64.317530638287636</v>
      </c>
      <c r="K13" s="6">
        <f>IF('Data Sheet'!K93&gt;0,K12/'Data Sheet'!K93,0)</f>
        <v>72.590985304270632</v>
      </c>
      <c r="L13" s="6">
        <f>IF('Data Sheet'!$B6&gt;0,'Profit &amp; Loss'!L12/'Data Sheet'!$B6,0)</f>
        <v>72.561360213850222</v>
      </c>
      <c r="M13" s="6">
        <f>IF('Data Sheet'!$B6&gt;0,'Profit &amp; Loss'!M12/'Data Sheet'!$B6,0)</f>
        <v>75.032755738459741</v>
      </c>
      <c r="N13" s="6">
        <f>IF('Data Sheet'!$B6&gt;0,'Profit &amp; Loss'!N12/'Data Sheet'!$B6,0)</f>
        <v>72.336778790087919</v>
      </c>
    </row>
    <row r="14" spans="1:14" x14ac:dyDescent="0.35">
      <c r="A14" t="s">
        <v>16</v>
      </c>
      <c r="B14" s="6">
        <f>IF(B15&gt;0,B15/B13,"")</f>
        <v>16.359507468821846</v>
      </c>
      <c r="C14" s="6">
        <f t="shared" ref="C14:K14" si="2">IF(C15&gt;0,C15/C13,"")</f>
        <v>15.421825316613639</v>
      </c>
      <c r="D14" s="6">
        <f t="shared" si="2"/>
        <v>21.097158303038171</v>
      </c>
      <c r="E14" s="6">
        <f t="shared" si="2"/>
        <v>16.464676991683742</v>
      </c>
      <c r="F14" s="6">
        <f t="shared" si="2"/>
        <v>30.121702418479664</v>
      </c>
      <c r="G14" s="6">
        <f t="shared" si="2"/>
        <v>36.280171393034827</v>
      </c>
      <c r="H14" s="6">
        <f t="shared" si="2"/>
        <v>24.585986179705333</v>
      </c>
      <c r="I14" s="6">
        <f t="shared" si="2"/>
        <v>23.703944440208897</v>
      </c>
      <c r="J14" s="6">
        <f t="shared" si="2"/>
        <v>24.420247239171935</v>
      </c>
      <c r="K14" s="6">
        <f t="shared" si="2"/>
        <v>17.228034510869566</v>
      </c>
      <c r="L14" s="6">
        <f t="shared" ref="L14" si="3">IF(L13&gt;0,L15/L13,0)</f>
        <v>15.607480298913043</v>
      </c>
      <c r="M14" s="6">
        <f>M25</f>
        <v>20.239926622290859</v>
      </c>
      <c r="N14" s="6">
        <f>N25</f>
        <v>15.607480298913043</v>
      </c>
    </row>
    <row r="15" spans="1:14" s="2" customFormat="1" x14ac:dyDescent="0.35">
      <c r="A15" s="2" t="s">
        <v>58</v>
      </c>
      <c r="B15" s="1">
        <f>'Data Sheet'!B90</f>
        <v>511.13</v>
      </c>
      <c r="C15" s="1">
        <f>'Data Sheet'!C90</f>
        <v>565.9</v>
      </c>
      <c r="D15" s="1">
        <f>'Data Sheet'!D90</f>
        <v>743.85</v>
      </c>
      <c r="E15" s="1">
        <f>'Data Sheet'!E90</f>
        <v>641.5</v>
      </c>
      <c r="F15" s="1">
        <f>'Data Sheet'!F90</f>
        <v>1368.05</v>
      </c>
      <c r="G15" s="1">
        <f>'Data Sheet'!G90</f>
        <v>1906.85</v>
      </c>
      <c r="H15" s="1">
        <f>'Data Sheet'!H90</f>
        <v>1427.95</v>
      </c>
      <c r="I15" s="1">
        <f>'Data Sheet'!I90</f>
        <v>1498.05</v>
      </c>
      <c r="J15" s="1">
        <f>'Data Sheet'!J90</f>
        <v>1570.65</v>
      </c>
      <c r="K15" s="1">
        <f>'Data Sheet'!K90</f>
        <v>1250.5999999999999</v>
      </c>
      <c r="L15" s="1">
        <f>'Data Sheet'!B8</f>
        <v>1132.5</v>
      </c>
      <c r="M15" s="8">
        <f>M13*M14</f>
        <v>1518.6574704146985</v>
      </c>
      <c r="N15" s="9">
        <f>N13*N14</f>
        <v>1128.994849853128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0.4104786455793214</v>
      </c>
      <c r="C18" s="5">
        <f>IF('Data Sheet'!C30&gt;0, 'Data Sheet'!C31/'Data Sheet'!C30, 0)</f>
        <v>0.5905296649822197</v>
      </c>
      <c r="D18" s="5">
        <f>IF('Data Sheet'!D30&gt;0, 'Data Sheet'!D31/'Data Sheet'!D30, 0)</f>
        <v>0.5987081277590236</v>
      </c>
      <c r="E18" s="5">
        <f>IF('Data Sheet'!E30&gt;0, 'Data Sheet'!E31/'Data Sheet'!E30, 0)</f>
        <v>0.44757141135350126</v>
      </c>
      <c r="F18" s="5">
        <f>IF('Data Sheet'!F30&gt;0, 'Data Sheet'!F31/'Data Sheet'!F30, 0)</f>
        <v>0.59271355485504629</v>
      </c>
      <c r="G18" s="5">
        <f>IF('Data Sheet'!G30&gt;0, 'Data Sheet'!G31/'Data Sheet'!G30, 0)</f>
        <v>0.58831298055178649</v>
      </c>
      <c r="H18" s="5">
        <f>IF('Data Sheet'!H30&gt;0, 'Data Sheet'!H31/'Data Sheet'!H30, 0)</f>
        <v>0.58390537455903713</v>
      </c>
      <c r="I18" s="5">
        <f>IF('Data Sheet'!I30&gt;0, 'Data Sheet'!I31/'Data Sheet'!I30, 0)</f>
        <v>0.72630656043914155</v>
      </c>
      <c r="J18" s="5">
        <f>IF('Data Sheet'!J30&gt;0, 'Data Sheet'!J31/'Data Sheet'!J30, 0)</f>
        <v>0.66738292217272488</v>
      </c>
      <c r="K18" s="5">
        <f>IF('Data Sheet'!K30&gt;0, 'Data Sheet'!K31/'Data Sheet'!K30, 0)</f>
        <v>0.66</v>
      </c>
    </row>
    <row r="19" spans="1:14" x14ac:dyDescent="0.35">
      <c r="A19" t="s">
        <v>18</v>
      </c>
      <c r="B19" s="5">
        <f t="shared" ref="B19:L19" si="4">IF(B6&gt;0,B6/B4,0)</f>
        <v>0.27165469306699375</v>
      </c>
      <c r="C19" s="5">
        <f t="shared" ref="C19:K19" si="5">IF(C6&gt;0,C6/C4,0)</f>
        <v>0.26689543688494372</v>
      </c>
      <c r="D19" s="5">
        <f t="shared" si="5"/>
        <v>0.24396734200181433</v>
      </c>
      <c r="E19" s="5">
        <f t="shared" si="5"/>
        <v>0.24525558700752279</v>
      </c>
      <c r="F19" s="5">
        <f t="shared" si="5"/>
        <v>0.27757982323433394</v>
      </c>
      <c r="G19" s="5">
        <f t="shared" si="5"/>
        <v>0.25888475102966929</v>
      </c>
      <c r="H19" s="5">
        <f t="shared" si="5"/>
        <v>0.23935898396778568</v>
      </c>
      <c r="I19" s="5">
        <f t="shared" si="5"/>
        <v>0.23703390381987374</v>
      </c>
      <c r="J19" s="5">
        <f t="shared" si="5"/>
        <v>0.24072642493404503</v>
      </c>
      <c r="K19" s="5">
        <f t="shared" si="5"/>
        <v>0.23666386789812482</v>
      </c>
      <c r="L19" s="5">
        <f t="shared" si="4"/>
        <v>0.23665827036104115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0.11241852195135271</v>
      </c>
      <c r="I23" s="5">
        <f>IF(D4=0,"",POWER($K4/D4,1/7)-1)</f>
        <v>0.11635961365932812</v>
      </c>
      <c r="J23" s="5">
        <f>IF(F4=0,"",POWER($K4/F4,1/5)-1)</f>
        <v>0.12199673885587958</v>
      </c>
      <c r="K23" s="5">
        <f>IF(H4=0,"",POWER($K4/H4, 1/3)-1)</f>
        <v>6.772202424210727E-2</v>
      </c>
      <c r="L23" s="5">
        <f>IF(ISERROR(MAX(IF(J4=0,"",(K4-J4)/J4),IF(K4=0,"",(L4-K4)/K4))),"",MAX(IF(J4=0,"",(K4-J4)/J4),IF(K4=0,"",(L4-K4)/K4)))</f>
        <v>9.6079514080618447E-2</v>
      </c>
      <c r="M23" s="16">
        <f>MAX(K23:L23)</f>
        <v>9.6079514080618447E-2</v>
      </c>
      <c r="N23" s="16">
        <f>MIN(H23:L23)</f>
        <v>6.772202424210727E-2</v>
      </c>
    </row>
    <row r="24" spans="1:14" x14ac:dyDescent="0.35">
      <c r="G24" t="s">
        <v>18</v>
      </c>
      <c r="H24" s="5">
        <f>IF(SUM(B4:$K$4)=0,"",SUMPRODUCT(B19:$K$19,B4:$K$4)/SUM(B4:$K$4))</f>
        <v>0.24842648101153941</v>
      </c>
      <c r="I24" s="5">
        <f>IF(SUM(E4:$K$4)=0,"",SUMPRODUCT(E19:$K$19,E4:$K$4)/SUM(E4:$K$4))</f>
        <v>0.24578290039278269</v>
      </c>
      <c r="J24" s="5">
        <f>IF(SUM(G4:$K$4)=0,"",SUMPRODUCT(G19:$K$19,G4:$K$4)/SUM(G4:$K$4))</f>
        <v>0.241662498461474</v>
      </c>
      <c r="K24" s="5">
        <f>IF(SUM(I4:$K$4)=0, "", SUMPRODUCT(I19:$K$19,I4:$K$4)/SUM(I4:$K$4))</f>
        <v>0.23811552361147564</v>
      </c>
      <c r="L24" s="5">
        <f>L19</f>
        <v>0.23665827036104115</v>
      </c>
      <c r="M24" s="16">
        <f>MAX(K24:L24)</f>
        <v>0.23811552361147564</v>
      </c>
      <c r="N24" s="16">
        <f>MIN(H24:L24)</f>
        <v>0.23665827036104115</v>
      </c>
    </row>
    <row r="25" spans="1:14" x14ac:dyDescent="0.35">
      <c r="G25" t="s">
        <v>23</v>
      </c>
      <c r="H25" s="6">
        <f>IF(ISERROR(AVERAGEIF(B14:$L14,"&gt;0")),"",AVERAGEIF(B14:$L14,"&gt;0"))</f>
        <v>21.935521323685517</v>
      </c>
      <c r="I25" s="6">
        <f>IF(ISERROR(AVERAGEIF(E14:$L14,"&gt;0")),"",AVERAGEIF(E14:$L14,"&gt;0"))</f>
        <v>23.551530434008377</v>
      </c>
      <c r="J25" s="6">
        <f>IF(ISERROR(AVERAGEIF(G14:$L14,"&gt;0")),"",AVERAGEIF(G14:$L14,"&gt;0"))</f>
        <v>23.63764401031727</v>
      </c>
      <c r="K25" s="6">
        <f>IF(ISERROR(AVERAGEIF(I14:$L14,"&gt;0")),"",AVERAGEIF(I14:$L14,"&gt;0"))</f>
        <v>20.239926622290859</v>
      </c>
      <c r="L25" s="6">
        <f>L14</f>
        <v>15.607480298913043</v>
      </c>
      <c r="M25" s="1">
        <f>MAX(K25:L25)</f>
        <v>20.239926622290859</v>
      </c>
      <c r="N25" s="1">
        <f>MIN(H25:L25)</f>
        <v>15.607480298913043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38821</v>
      </c>
      <c r="C4" s="1">
        <f>'Data Sheet'!C42</f>
        <v>37923</v>
      </c>
      <c r="D4" s="1">
        <f>'Data Sheet'!D42</f>
        <v>39315</v>
      </c>
      <c r="E4" s="1">
        <f>'Data Sheet'!E42</f>
        <v>40986</v>
      </c>
      <c r="F4" s="1">
        <f>'Data Sheet'!F42</f>
        <v>41764</v>
      </c>
      <c r="G4" s="1">
        <f>'Data Sheet'!G42</f>
        <v>40925</v>
      </c>
      <c r="H4" s="1">
        <f>'Data Sheet'!H42</f>
        <v>42279</v>
      </c>
      <c r="I4" s="1">
        <f>'Data Sheet'!I42</f>
        <v>44490</v>
      </c>
      <c r="J4" s="1">
        <f>'Data Sheet'!J42</f>
        <v>45479</v>
      </c>
      <c r="K4" s="1">
        <f>'Data Sheet'!K42</f>
        <v>46402</v>
      </c>
    </row>
    <row r="5" spans="1:11" x14ac:dyDescent="0.35">
      <c r="A5" t="s">
        <v>7</v>
      </c>
      <c r="B5" s="6">
        <f>'Data Sheet'!B43</f>
        <v>29684</v>
      </c>
      <c r="C5" s="6">
        <f>'Data Sheet'!C43</f>
        <v>29139</v>
      </c>
      <c r="D5" s="6">
        <f>'Data Sheet'!D43</f>
        <v>29878</v>
      </c>
      <c r="E5" s="6">
        <f>'Data Sheet'!E43</f>
        <v>31177</v>
      </c>
      <c r="F5" s="6">
        <f>'Data Sheet'!F43</f>
        <v>31649</v>
      </c>
      <c r="G5" s="6">
        <f>'Data Sheet'!G43</f>
        <v>31051</v>
      </c>
      <c r="H5" s="6">
        <f>'Data Sheet'!H43</f>
        <v>32336</v>
      </c>
      <c r="I5" s="6">
        <f>'Data Sheet'!I43</f>
        <v>33955</v>
      </c>
      <c r="J5" s="6">
        <f>'Data Sheet'!J43</f>
        <v>34845</v>
      </c>
      <c r="K5" s="6">
        <f>'Data Sheet'!K43</f>
        <v>35235</v>
      </c>
    </row>
    <row r="6" spans="1:11" s="2" customFormat="1" x14ac:dyDescent="0.35">
      <c r="A6" s="2" t="s">
        <v>8</v>
      </c>
      <c r="B6" s="1">
        <f>'Data Sheet'!B50</f>
        <v>9137</v>
      </c>
      <c r="C6" s="1">
        <f>'Data Sheet'!C50</f>
        <v>8784</v>
      </c>
      <c r="D6" s="1">
        <f>'Data Sheet'!D50</f>
        <v>9437</v>
      </c>
      <c r="E6" s="1">
        <f>'Data Sheet'!E50</f>
        <v>9809</v>
      </c>
      <c r="F6" s="1">
        <f>'Data Sheet'!F50</f>
        <v>10115</v>
      </c>
      <c r="G6" s="1">
        <f>'Data Sheet'!G50</f>
        <v>9874</v>
      </c>
      <c r="H6" s="1">
        <f>'Data Sheet'!H50</f>
        <v>9943</v>
      </c>
      <c r="I6" s="1">
        <f>'Data Sheet'!I50</f>
        <v>10535</v>
      </c>
      <c r="J6" s="1">
        <f>'Data Sheet'!J50</f>
        <v>10634</v>
      </c>
      <c r="K6" s="1">
        <f>'Data Sheet'!K50</f>
        <v>11167</v>
      </c>
    </row>
    <row r="7" spans="1:11" x14ac:dyDescent="0.35">
      <c r="A7" t="s">
        <v>9</v>
      </c>
      <c r="B7" s="6">
        <f>'Data Sheet'!B44</f>
        <v>789</v>
      </c>
      <c r="C7" s="6">
        <f>'Data Sheet'!C44</f>
        <v>2729</v>
      </c>
      <c r="D7" s="6">
        <f>'Data Sheet'!D44</f>
        <v>838</v>
      </c>
      <c r="E7" s="6">
        <f>'Data Sheet'!E44</f>
        <v>712</v>
      </c>
      <c r="F7" s="6">
        <f>'Data Sheet'!F44</f>
        <v>859</v>
      </c>
      <c r="G7" s="6">
        <f>'Data Sheet'!G44</f>
        <v>1190</v>
      </c>
      <c r="H7" s="6">
        <f>'Data Sheet'!H44</f>
        <v>1042</v>
      </c>
      <c r="I7" s="6">
        <f>'Data Sheet'!I44</f>
        <v>982</v>
      </c>
      <c r="J7" s="6">
        <f>'Data Sheet'!J44</f>
        <v>-150</v>
      </c>
      <c r="K7" s="6">
        <f>'Data Sheet'!K44</f>
        <v>1159</v>
      </c>
    </row>
    <row r="8" spans="1:11" x14ac:dyDescent="0.35">
      <c r="A8" t="s">
        <v>10</v>
      </c>
      <c r="B8" s="6">
        <f>'Data Sheet'!B45</f>
        <v>1176</v>
      </c>
      <c r="C8" s="6">
        <f>'Data Sheet'!C45</f>
        <v>1163</v>
      </c>
      <c r="D8" s="6">
        <f>'Data Sheet'!D45</f>
        <v>1149</v>
      </c>
      <c r="E8" s="6">
        <f>'Data Sheet'!E45</f>
        <v>1160</v>
      </c>
      <c r="F8" s="6">
        <f>'Data Sheet'!F45</f>
        <v>1203</v>
      </c>
      <c r="G8" s="6">
        <f>'Data Sheet'!G45</f>
        <v>1299</v>
      </c>
      <c r="H8" s="6">
        <f>'Data Sheet'!H45</f>
        <v>1140</v>
      </c>
      <c r="I8" s="6">
        <f>'Data Sheet'!I45</f>
        <v>1182</v>
      </c>
      <c r="J8" s="6">
        <f>'Data Sheet'!J45</f>
        <v>1155</v>
      </c>
      <c r="K8" s="6">
        <f>'Data Sheet'!K45</f>
        <v>1424</v>
      </c>
    </row>
    <row r="9" spans="1:11" x14ac:dyDescent="0.35">
      <c r="A9" t="s">
        <v>11</v>
      </c>
      <c r="B9" s="6">
        <f>'Data Sheet'!B46</f>
        <v>131</v>
      </c>
      <c r="C9" s="6">
        <f>'Data Sheet'!C46</f>
        <v>110</v>
      </c>
      <c r="D9" s="6">
        <f>'Data Sheet'!D46</f>
        <v>105</v>
      </c>
      <c r="E9" s="6">
        <f>'Data Sheet'!E46</f>
        <v>108</v>
      </c>
      <c r="F9" s="6">
        <f>'Data Sheet'!F46</f>
        <v>101</v>
      </c>
      <c r="G9" s="6">
        <f>'Data Sheet'!G46</f>
        <v>102</v>
      </c>
      <c r="H9" s="6">
        <f>'Data Sheet'!H46</f>
        <v>105</v>
      </c>
      <c r="I9" s="6">
        <f>'Data Sheet'!I46</f>
        <v>106</v>
      </c>
      <c r="J9" s="6">
        <f>'Data Sheet'!J46</f>
        <v>100</v>
      </c>
      <c r="K9" s="6">
        <f>'Data Sheet'!K46</f>
        <v>105</v>
      </c>
    </row>
    <row r="10" spans="1:11" x14ac:dyDescent="0.35">
      <c r="A10" t="s">
        <v>12</v>
      </c>
      <c r="B10" s="6">
        <f>'Data Sheet'!B47</f>
        <v>8619</v>
      </c>
      <c r="C10" s="6">
        <f>'Data Sheet'!C47</f>
        <v>10240</v>
      </c>
      <c r="D10" s="6">
        <f>'Data Sheet'!D47</f>
        <v>9021</v>
      </c>
      <c r="E10" s="6">
        <f>'Data Sheet'!E47</f>
        <v>9253</v>
      </c>
      <c r="F10" s="6">
        <f>'Data Sheet'!F47</f>
        <v>9670</v>
      </c>
      <c r="G10" s="6">
        <f>'Data Sheet'!G47</f>
        <v>9663</v>
      </c>
      <c r="H10" s="6">
        <f>'Data Sheet'!H47</f>
        <v>9740</v>
      </c>
      <c r="I10" s="6">
        <f>'Data Sheet'!I47</f>
        <v>10229</v>
      </c>
      <c r="J10" s="6">
        <f>'Data Sheet'!J47</f>
        <v>9229</v>
      </c>
      <c r="K10" s="6">
        <f>'Data Sheet'!K47</f>
        <v>10797</v>
      </c>
    </row>
    <row r="11" spans="1:11" x14ac:dyDescent="0.35">
      <c r="A11" t="s">
        <v>13</v>
      </c>
      <c r="B11" s="6">
        <f>'Data Sheet'!B48</f>
        <v>2506</v>
      </c>
      <c r="C11" s="6">
        <f>'Data Sheet'!C48</f>
        <v>2265</v>
      </c>
      <c r="D11" s="6">
        <f>'Data Sheet'!D48</f>
        <v>2647</v>
      </c>
      <c r="E11" s="6">
        <f>'Data Sheet'!E48</f>
        <v>2737</v>
      </c>
      <c r="F11" s="6">
        <f>'Data Sheet'!F48</f>
        <v>2848</v>
      </c>
      <c r="G11" s="6">
        <f>'Data Sheet'!G48</f>
        <v>2625</v>
      </c>
      <c r="H11" s="6">
        <f>'Data Sheet'!H48</f>
        <v>2816</v>
      </c>
      <c r="I11" s="6">
        <f>'Data Sheet'!I48</f>
        <v>2854</v>
      </c>
      <c r="J11" s="6">
        <f>'Data Sheet'!J48</f>
        <v>2563</v>
      </c>
      <c r="K11" s="6">
        <f>'Data Sheet'!K48</f>
        <v>2288</v>
      </c>
    </row>
    <row r="12" spans="1:11" s="2" customFormat="1" x14ac:dyDescent="0.35">
      <c r="A12" s="2" t="s">
        <v>14</v>
      </c>
      <c r="B12" s="1">
        <f>'Data Sheet'!B49</f>
        <v>6106</v>
      </c>
      <c r="C12" s="1">
        <f>'Data Sheet'!C49</f>
        <v>7969</v>
      </c>
      <c r="D12" s="1">
        <f>'Data Sheet'!D49</f>
        <v>6368</v>
      </c>
      <c r="E12" s="1">
        <f>'Data Sheet'!E49</f>
        <v>6506</v>
      </c>
      <c r="F12" s="1">
        <f>'Data Sheet'!F49</f>
        <v>6806</v>
      </c>
      <c r="G12" s="1">
        <f>'Data Sheet'!G49</f>
        <v>7033</v>
      </c>
      <c r="H12" s="1">
        <f>'Data Sheet'!H49</f>
        <v>6921</v>
      </c>
      <c r="I12" s="1">
        <f>'Data Sheet'!I49</f>
        <v>7364</v>
      </c>
      <c r="J12" s="1">
        <f>'Data Sheet'!J49</f>
        <v>6654</v>
      </c>
      <c r="K12" s="1">
        <f>'Data Sheet'!K49</f>
        <v>8501</v>
      </c>
    </row>
    <row r="14" spans="1:11" s="2" customFormat="1" x14ac:dyDescent="0.35">
      <c r="A14" s="2" t="s">
        <v>18</v>
      </c>
      <c r="B14" s="10">
        <f>IF(B4&gt;0,B6/B4,"")</f>
        <v>0.23536230390767884</v>
      </c>
      <c r="C14" s="10">
        <f t="shared" ref="C14:K14" si="0">IF(C4&gt;0,C6/C4,"")</f>
        <v>0.2316272446800095</v>
      </c>
      <c r="D14" s="10">
        <f t="shared" si="0"/>
        <v>0.24003560981813557</v>
      </c>
      <c r="E14" s="10">
        <f t="shared" si="0"/>
        <v>0.23932562338359439</v>
      </c>
      <c r="F14" s="10">
        <f t="shared" si="0"/>
        <v>0.2421942342687482</v>
      </c>
      <c r="G14" s="10">
        <f t="shared" si="0"/>
        <v>0.24127061698228466</v>
      </c>
      <c r="H14" s="10">
        <f t="shared" si="0"/>
        <v>0.23517585562572435</v>
      </c>
      <c r="I14" s="10">
        <f t="shared" si="0"/>
        <v>0.23679478534502135</v>
      </c>
      <c r="J14" s="10">
        <f t="shared" si="0"/>
        <v>0.2338222036544339</v>
      </c>
      <c r="K14" s="10">
        <f t="shared" si="0"/>
        <v>0.24065773027024698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1144</v>
      </c>
      <c r="C4" s="14">
        <f>'Data Sheet'!C57</f>
        <v>1088</v>
      </c>
      <c r="D4" s="14">
        <f>'Data Sheet'!D57</f>
        <v>2170</v>
      </c>
      <c r="E4" s="14">
        <f>'Data Sheet'!E57</f>
        <v>2122</v>
      </c>
      <c r="F4" s="14">
        <f>'Data Sheet'!F57</f>
        <v>2124</v>
      </c>
      <c r="G4" s="14">
        <f>'Data Sheet'!G57</f>
        <v>2098</v>
      </c>
      <c r="H4" s="14">
        <f>'Data Sheet'!H57</f>
        <v>2069</v>
      </c>
      <c r="I4" s="14">
        <f>'Data Sheet'!I57</f>
        <v>2071</v>
      </c>
      <c r="J4" s="14">
        <f>'Data Sheet'!J57</f>
        <v>2073</v>
      </c>
      <c r="K4" s="14">
        <f>'Data Sheet'!K57</f>
        <v>2024</v>
      </c>
    </row>
    <row r="5" spans="1:11" x14ac:dyDescent="0.35">
      <c r="A5" t="s">
        <v>25</v>
      </c>
      <c r="B5" s="14">
        <f>'Data Sheet'!B58</f>
        <v>67838</v>
      </c>
      <c r="C5" s="14">
        <f>'Data Sheet'!C58</f>
        <v>63835</v>
      </c>
      <c r="D5" s="14">
        <f>'Data Sheet'!D58</f>
        <v>62778</v>
      </c>
      <c r="E5" s="14">
        <f>'Data Sheet'!E58</f>
        <v>63328</v>
      </c>
      <c r="F5" s="14">
        <f>'Data Sheet'!F58</f>
        <v>74227</v>
      </c>
      <c r="G5" s="14">
        <f>'Data Sheet'!G58</f>
        <v>73252</v>
      </c>
      <c r="H5" s="14">
        <f>'Data Sheet'!H58</f>
        <v>73338</v>
      </c>
      <c r="I5" s="14">
        <f>'Data Sheet'!I58</f>
        <v>86045</v>
      </c>
      <c r="J5" s="14">
        <f>'Data Sheet'!J58</f>
        <v>93745</v>
      </c>
      <c r="K5" s="14">
        <f>'Data Sheet'!K58</f>
        <v>90828</v>
      </c>
    </row>
    <row r="6" spans="1:11" x14ac:dyDescent="0.3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4633</v>
      </c>
      <c r="F6" s="14">
        <f>'Data Sheet'!F59</f>
        <v>5325</v>
      </c>
      <c r="G6" s="14">
        <f>'Data Sheet'!G59</f>
        <v>5474</v>
      </c>
      <c r="H6" s="14">
        <f>'Data Sheet'!H59</f>
        <v>8299</v>
      </c>
      <c r="I6" s="14">
        <f>'Data Sheet'!I59</f>
        <v>8359</v>
      </c>
      <c r="J6" s="14">
        <f>'Data Sheet'!J59</f>
        <v>8227</v>
      </c>
      <c r="K6" s="14">
        <f>'Data Sheet'!K59</f>
        <v>9176</v>
      </c>
    </row>
    <row r="7" spans="1:11" x14ac:dyDescent="0.35">
      <c r="A7" t="s">
        <v>72</v>
      </c>
      <c r="B7" s="14">
        <f>'Data Sheet'!B60</f>
        <v>14166</v>
      </c>
      <c r="C7" s="14">
        <f>'Data Sheet'!C60</f>
        <v>14426</v>
      </c>
      <c r="D7" s="14">
        <f>'Data Sheet'!D60</f>
        <v>19118</v>
      </c>
      <c r="E7" s="14">
        <f>'Data Sheet'!E60</f>
        <v>21717</v>
      </c>
      <c r="F7" s="14">
        <f>'Data Sheet'!F60</f>
        <v>25835</v>
      </c>
      <c r="G7" s="14">
        <f>'Data Sheet'!G60</f>
        <v>35905</v>
      </c>
      <c r="H7" s="14">
        <f>'Data Sheet'!H60</f>
        <v>40890</v>
      </c>
      <c r="I7" s="14">
        <f>'Data Sheet'!I60</f>
        <v>40885</v>
      </c>
      <c r="J7" s="14">
        <f>'Data Sheet'!J60</f>
        <v>43750</v>
      </c>
      <c r="K7" s="14">
        <f>'Data Sheet'!K60</f>
        <v>52260</v>
      </c>
    </row>
    <row r="8" spans="1:11" s="2" customFormat="1" x14ac:dyDescent="0.35">
      <c r="A8" s="2" t="s">
        <v>26</v>
      </c>
      <c r="B8" s="15">
        <f>'Data Sheet'!B61</f>
        <v>83148</v>
      </c>
      <c r="C8" s="15">
        <f>'Data Sheet'!C61</f>
        <v>79349</v>
      </c>
      <c r="D8" s="15">
        <f>'Data Sheet'!D61</f>
        <v>84066</v>
      </c>
      <c r="E8" s="15">
        <f>'Data Sheet'!E61</f>
        <v>91800</v>
      </c>
      <c r="F8" s="15">
        <f>'Data Sheet'!F61</f>
        <v>107511</v>
      </c>
      <c r="G8" s="15">
        <f>'Data Sheet'!G61</f>
        <v>116729</v>
      </c>
      <c r="H8" s="15">
        <f>'Data Sheet'!H61</f>
        <v>124596</v>
      </c>
      <c r="I8" s="15">
        <f>'Data Sheet'!I61</f>
        <v>137360</v>
      </c>
      <c r="J8" s="15">
        <f>'Data Sheet'!J61</f>
        <v>147795</v>
      </c>
      <c r="K8" s="15">
        <f>'Data Sheet'!K61</f>
        <v>154288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14179</v>
      </c>
      <c r="C10" s="14">
        <f>'Data Sheet'!C62</f>
        <v>12574</v>
      </c>
      <c r="D10" s="14">
        <f>'Data Sheet'!D62</f>
        <v>15710</v>
      </c>
      <c r="E10" s="14">
        <f>'Data Sheet'!E62</f>
        <v>23789</v>
      </c>
      <c r="F10" s="14">
        <f>'Data Sheet'!F62</f>
        <v>25505</v>
      </c>
      <c r="G10" s="14">
        <f>'Data Sheet'!G62</f>
        <v>25800</v>
      </c>
      <c r="H10" s="14">
        <f>'Data Sheet'!H62</f>
        <v>29225</v>
      </c>
      <c r="I10" s="14">
        <f>'Data Sheet'!I62</f>
        <v>27622</v>
      </c>
      <c r="J10" s="14">
        <f>'Data Sheet'!J62</f>
        <v>30961</v>
      </c>
      <c r="K10" s="14">
        <f>'Data Sheet'!K62</f>
        <v>33770</v>
      </c>
    </row>
    <row r="11" spans="1:11" x14ac:dyDescent="0.35">
      <c r="A11" t="s">
        <v>28</v>
      </c>
      <c r="B11" s="14">
        <f>'Data Sheet'!B63</f>
        <v>1365</v>
      </c>
      <c r="C11" s="14">
        <f>'Data Sheet'!C63</f>
        <v>1606</v>
      </c>
      <c r="D11" s="14">
        <f>'Data Sheet'!D63</f>
        <v>1388</v>
      </c>
      <c r="E11" s="14">
        <f>'Data Sheet'!E63</f>
        <v>954</v>
      </c>
      <c r="F11" s="14">
        <f>'Data Sheet'!F63</f>
        <v>922</v>
      </c>
      <c r="G11" s="14">
        <f>'Data Sheet'!G63</f>
        <v>416</v>
      </c>
      <c r="H11" s="14">
        <f>'Data Sheet'!H63</f>
        <v>288</v>
      </c>
      <c r="I11" s="14">
        <f>'Data Sheet'!I63</f>
        <v>293</v>
      </c>
      <c r="J11" s="14">
        <f>'Data Sheet'!J63</f>
        <v>814</v>
      </c>
      <c r="K11" s="14">
        <f>'Data Sheet'!K63</f>
        <v>526</v>
      </c>
    </row>
    <row r="12" spans="1:11" x14ac:dyDescent="0.35">
      <c r="A12" t="s">
        <v>29</v>
      </c>
      <c r="B12" s="14">
        <f>'Data Sheet'!B64</f>
        <v>16423</v>
      </c>
      <c r="C12" s="14">
        <f>'Data Sheet'!C64</f>
        <v>12163</v>
      </c>
      <c r="D12" s="14">
        <f>'Data Sheet'!D64</f>
        <v>11261</v>
      </c>
      <c r="E12" s="14">
        <f>'Data Sheet'!E64</f>
        <v>8792</v>
      </c>
      <c r="F12" s="14">
        <f>'Data Sheet'!F64</f>
        <v>14205</v>
      </c>
      <c r="G12" s="14">
        <f>'Data Sheet'!G64</f>
        <v>20324</v>
      </c>
      <c r="H12" s="14">
        <f>'Data Sheet'!H64</f>
        <v>19478</v>
      </c>
      <c r="I12" s="14">
        <f>'Data Sheet'!I64</f>
        <v>24623</v>
      </c>
      <c r="J12" s="14">
        <f>'Data Sheet'!J64</f>
        <v>23541</v>
      </c>
      <c r="K12" s="14">
        <f>'Data Sheet'!K64</f>
        <v>21880</v>
      </c>
    </row>
    <row r="13" spans="1:11" x14ac:dyDescent="0.35">
      <c r="A13" t="s">
        <v>73</v>
      </c>
      <c r="B13" s="14">
        <f>'Data Sheet'!B65</f>
        <v>51181</v>
      </c>
      <c r="C13" s="14">
        <f>'Data Sheet'!C65</f>
        <v>53006</v>
      </c>
      <c r="D13" s="14">
        <f>'Data Sheet'!D65</f>
        <v>55707</v>
      </c>
      <c r="E13" s="14">
        <f>'Data Sheet'!E65</f>
        <v>58265</v>
      </c>
      <c r="F13" s="14">
        <f>'Data Sheet'!F65</f>
        <v>66879</v>
      </c>
      <c r="G13" s="14">
        <f>'Data Sheet'!G65</f>
        <v>70189</v>
      </c>
      <c r="H13" s="14">
        <f>'Data Sheet'!H65</f>
        <v>75605</v>
      </c>
      <c r="I13" s="14">
        <f>'Data Sheet'!I65</f>
        <v>84822</v>
      </c>
      <c r="J13" s="14">
        <f>'Data Sheet'!J65</f>
        <v>92479</v>
      </c>
      <c r="K13" s="14">
        <f>'Data Sheet'!K65</f>
        <v>98112</v>
      </c>
    </row>
    <row r="14" spans="1:11" s="2" customFormat="1" x14ac:dyDescent="0.35">
      <c r="A14" s="2" t="s">
        <v>26</v>
      </c>
      <c r="B14" s="14">
        <f>'Data Sheet'!B66</f>
        <v>83148</v>
      </c>
      <c r="C14" s="14">
        <f>'Data Sheet'!C66</f>
        <v>79349</v>
      </c>
      <c r="D14" s="14">
        <f>'Data Sheet'!D66</f>
        <v>84066</v>
      </c>
      <c r="E14" s="14">
        <f>'Data Sheet'!E66</f>
        <v>91800</v>
      </c>
      <c r="F14" s="14">
        <f>'Data Sheet'!F66</f>
        <v>107511</v>
      </c>
      <c r="G14" s="14">
        <f>'Data Sheet'!G66</f>
        <v>116729</v>
      </c>
      <c r="H14" s="14">
        <f>'Data Sheet'!H66</f>
        <v>124596</v>
      </c>
      <c r="I14" s="14">
        <f>'Data Sheet'!I66</f>
        <v>137360</v>
      </c>
      <c r="J14" s="14">
        <f>'Data Sheet'!J66</f>
        <v>147795</v>
      </c>
      <c r="K14" s="14">
        <f>'Data Sheet'!K66</f>
        <v>154288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37015</v>
      </c>
      <c r="C16" s="4">
        <f t="shared" ref="C16:K16" si="0">C13-C7</f>
        <v>38580</v>
      </c>
      <c r="D16" s="4">
        <f t="shared" si="0"/>
        <v>36589</v>
      </c>
      <c r="E16" s="4">
        <f t="shared" si="0"/>
        <v>36548</v>
      </c>
      <c r="F16" s="4">
        <f t="shared" si="0"/>
        <v>41044</v>
      </c>
      <c r="G16" s="4">
        <f t="shared" si="0"/>
        <v>34284</v>
      </c>
      <c r="H16" s="4">
        <f t="shared" si="0"/>
        <v>34715</v>
      </c>
      <c r="I16" s="4">
        <f t="shared" si="0"/>
        <v>43937</v>
      </c>
      <c r="J16" s="4">
        <f t="shared" si="0"/>
        <v>48729</v>
      </c>
      <c r="K16" s="4">
        <f t="shared" si="0"/>
        <v>45852</v>
      </c>
    </row>
    <row r="17" spans="1:11" x14ac:dyDescent="0.35">
      <c r="A17" t="s">
        <v>44</v>
      </c>
      <c r="B17" s="4">
        <f>'Data Sheet'!B67</f>
        <v>12322</v>
      </c>
      <c r="C17" s="4">
        <f>'Data Sheet'!C67</f>
        <v>13142</v>
      </c>
      <c r="D17" s="4">
        <f>'Data Sheet'!D67</f>
        <v>14827</v>
      </c>
      <c r="E17" s="4">
        <f>'Data Sheet'!E67</f>
        <v>18487</v>
      </c>
      <c r="F17" s="4">
        <f>'Data Sheet'!F67</f>
        <v>19294</v>
      </c>
      <c r="G17" s="4">
        <f>'Data Sheet'!G67</f>
        <v>22698</v>
      </c>
      <c r="H17" s="4">
        <f>'Data Sheet'!H67</f>
        <v>25424</v>
      </c>
      <c r="I17" s="4">
        <f>'Data Sheet'!I67</f>
        <v>30193</v>
      </c>
      <c r="J17" s="4">
        <f>'Data Sheet'!J67</f>
        <v>31158</v>
      </c>
      <c r="K17" s="4">
        <f>'Data Sheet'!K67</f>
        <v>35234</v>
      </c>
    </row>
    <row r="18" spans="1:11" x14ac:dyDescent="0.3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5">
      <c r="A20" t="s">
        <v>46</v>
      </c>
      <c r="B20" s="4">
        <f>IF('Profit &amp; Loss'!B4&gt;0,'Balance Sheet'!B17/('Profit &amp; Loss'!B4/365),0)</f>
        <v>65.672711874306415</v>
      </c>
      <c r="C20" s="4">
        <f>IF('Profit &amp; Loss'!C4&gt;0,'Balance Sheet'!C17/('Profit &amp; Loss'!C4/365),0)</f>
        <v>68.018916082924477</v>
      </c>
      <c r="D20" s="4">
        <f>IF('Profit &amp; Loss'!D4&gt;0,'Balance Sheet'!D17/('Profit &amp; Loss'!D4/365),0)</f>
        <v>65.459389174478375</v>
      </c>
      <c r="E20" s="4">
        <f>IF('Profit &amp; Loss'!E4&gt;0,'Balance Sheet'!E17/('Profit &amp; Loss'!E4/365),0)</f>
        <v>74.321849081957467</v>
      </c>
      <c r="F20" s="4">
        <f>IF('Profit &amp; Loss'!F4&gt;0,'Balance Sheet'!F17/('Profit &amp; Loss'!F4/365),0)</f>
        <v>70.092264511505689</v>
      </c>
      <c r="G20" s="4">
        <f>IF('Profit &amp; Loss'!G4&gt;0,'Balance Sheet'!G17/('Profit &amp; Loss'!G4/365),0)</f>
        <v>68.108368066688044</v>
      </c>
      <c r="H20" s="4">
        <f>IF('Profit &amp; Loss'!H4&gt;0,'Balance Sheet'!H17/('Profit &amp; Loss'!H4/365),0)</f>
        <v>63.227837320378562</v>
      </c>
      <c r="I20" s="4">
        <f>IF('Profit &amp; Loss'!I4&gt;0,'Balance Sheet'!I17/('Profit &amp; Loss'!I4/365),0)</f>
        <v>71.715006182078469</v>
      </c>
      <c r="J20" s="4">
        <f>IF('Profit &amp; Loss'!J4&gt;0,'Balance Sheet'!J17/('Profit &amp; Loss'!J4/365),0)</f>
        <v>69.775262286029815</v>
      </c>
      <c r="K20" s="4">
        <f>IF('Profit &amp; Loss'!K4&gt;0,'Balance Sheet'!K17/('Profit &amp; Loss'!K4/365),0)</f>
        <v>71.986621886369988</v>
      </c>
    </row>
    <row r="21" spans="1:11" x14ac:dyDescent="0.3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0.20806877156359629</v>
      </c>
      <c r="C23" s="10">
        <f>IF(SUM('Balance Sheet'!C4:C5)&gt;0,'Profit &amp; Loss'!C12/SUM('Balance Sheet'!C4:C5),"")</f>
        <v>0.24689247262141306</v>
      </c>
      <c r="D23" s="10">
        <f>IF(SUM('Balance Sheet'!D4:D5)&gt;0,'Profit &amp; Loss'!D12/SUM('Balance Sheet'!D4:D5),"")</f>
        <v>0.23717435486851018</v>
      </c>
      <c r="E23" s="10">
        <f>IF(SUM('Balance Sheet'!E4:E5)&gt;0,'Profit &amp; Loss'!E12/SUM('Balance Sheet'!E4:E5),"")</f>
        <v>0.25353705118411002</v>
      </c>
      <c r="F23" s="10">
        <f>IF(SUM('Balance Sheet'!F4:F5)&gt;0,'Profit &amp; Loss'!F12/SUM('Balance Sheet'!F4:F5),"")</f>
        <v>0.2534478919726002</v>
      </c>
      <c r="G23" s="10">
        <f>IF(SUM('Balance Sheet'!G4:G5)&gt;0,'Profit &amp; Loss'!G12/SUM('Balance Sheet'!G4:G5),"")</f>
        <v>0.29343065693430659</v>
      </c>
      <c r="H23" s="10">
        <f>IF(SUM('Balance Sheet'!H4:H5)&gt;0,'Profit &amp; Loss'!H12/SUM('Balance Sheet'!H4:H5),"")</f>
        <v>0.31953266938082669</v>
      </c>
      <c r="I23" s="10">
        <f>IF(SUM('Balance Sheet'!I4:I5)&gt;0,'Profit &amp; Loss'!I12/SUM('Balance Sheet'!I4:I5),"")</f>
        <v>0.29770983703300197</v>
      </c>
      <c r="J23" s="10">
        <f>IF(SUM('Balance Sheet'!J4:J5)&gt;0,'Profit &amp; Loss'!J12/SUM('Balance Sheet'!J4:J5),"")</f>
        <v>0.27878895405873633</v>
      </c>
      <c r="K23" s="10">
        <f>IF(SUM('Balance Sheet'!K4:K5)&gt;0,'Profit &amp; Loss'!K12/SUM('Balance Sheet'!K4:K5),"")</f>
        <v>0.31706371429802266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0.30275195101004443</v>
      </c>
      <c r="D24" s="10">
        <f>IF((C4+C5+C6+D4+D5+D6)&gt;0,('Profit &amp; Loss'!D10+'Profit &amp; Loss'!D9)*2/(C4+C5+C6+D4+D5+D6),"")</f>
        <v>0.3240292290041657</v>
      </c>
      <c r="E24" s="10">
        <f>IF((D4+D5+D6+E4+E5+E6)&gt;0,('Profit &amp; Loss'!E10+'Profit &amp; Loss'!E9)*2/(D4+D5+D6+E4+E5+E6),"")</f>
        <v>0.32847272107886338</v>
      </c>
      <c r="F24" s="10">
        <f>IF((E4+E5+E6+F4+F5+F6)&gt;0,('Profit &amp; Loss'!F10+'Profit &amp; Loss'!F9)*2/(E4+E5+E6+F4+F5+F6),"")</f>
        <v>0.3534946856529102</v>
      </c>
      <c r="G24" s="10">
        <f>IF((F4+F5+F6+G4+G5+G6)&gt;0,('Profit &amp; Loss'!G10+'Profit &amp; Loss'!G9)*2/(F4+F5+F6+G4+G5+G6),"")</f>
        <v>0.37304615384615386</v>
      </c>
      <c r="H24" s="10">
        <f>IF((G4+G5+G6+H4+H5+H6)&gt;0,('Profit &amp; Loss'!H10+'Profit &amp; Loss'!H9)*2/(G4+G5+G6+H4+H5+H6),"")</f>
        <v>0.40850908648878625</v>
      </c>
      <c r="I24" s="10">
        <f>IF((H4+H5+H6+I4+I5+I6)&gt;0,('Profit &amp; Loss'!I10+'Profit &amp; Loss'!I9)*2/(H4+H5+H6+I4+I5+I6),"")</f>
        <v>0.40468195869708795</v>
      </c>
      <c r="J24" s="10">
        <f>IF((I4+I5+I6+J4+J5+J6)&gt;0,('Profit &amp; Loss'!J10+'Profit &amp; Loss'!J9)*2/(I4+I5+I6+J4+J5+J6),"")</f>
        <v>0.37925393975663274</v>
      </c>
      <c r="K24" s="10">
        <f>IF((J4+J5+J6+K4+K5+K6)&gt;0,('Profit &amp; Loss'!K10+'Profit &amp; Loss'!K9)*2/(J4+J5+J6+K4+K5+K6),"")</f>
        <v>0.39220082203879209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35">
      <c r="A5" t="s">
        <v>33</v>
      </c>
      <c r="B5" s="6">
        <f>'Data Sheet'!B83</f>
        <v>-14664</v>
      </c>
      <c r="C5" s="6">
        <f>'Data Sheet'!C83</f>
        <v>4533</v>
      </c>
      <c r="D5" s="6">
        <f>'Data Sheet'!D83</f>
        <v>-632</v>
      </c>
      <c r="E5" s="6">
        <f>'Data Sheet'!E83</f>
        <v>-331</v>
      </c>
      <c r="F5" s="6">
        <f>'Data Sheet'!F83</f>
        <v>-7373</v>
      </c>
      <c r="G5" s="6">
        <f>'Data Sheet'!G83</f>
        <v>-6485</v>
      </c>
      <c r="H5" s="6">
        <f>'Data Sheet'!H83</f>
        <v>-1071</v>
      </c>
      <c r="I5" s="6">
        <f>'Data Sheet'!I83</f>
        <v>-5093</v>
      </c>
      <c r="J5" s="6">
        <f>'Data Sheet'!J83</f>
        <v>-1864</v>
      </c>
      <c r="K5" s="6">
        <f>'Data Sheet'!K83</f>
        <v>3546</v>
      </c>
    </row>
    <row r="6" spans="1:11" x14ac:dyDescent="0.35">
      <c r="A6" t="s">
        <v>34</v>
      </c>
      <c r="B6" s="6">
        <f>'Data Sheet'!B84</f>
        <v>-6939</v>
      </c>
      <c r="C6" s="6">
        <f>'Data Sheet'!C84</f>
        <v>-20505</v>
      </c>
      <c r="D6" s="6">
        <f>'Data Sheet'!D84</f>
        <v>-14512</v>
      </c>
      <c r="E6" s="6">
        <f>'Data Sheet'!E84</f>
        <v>-17591</v>
      </c>
      <c r="F6" s="6">
        <f>'Data Sheet'!F84</f>
        <v>-9786</v>
      </c>
      <c r="G6" s="6">
        <f>'Data Sheet'!G84</f>
        <v>-24642</v>
      </c>
      <c r="H6" s="6">
        <f>'Data Sheet'!H84</f>
        <v>-26695</v>
      </c>
      <c r="I6" s="6">
        <f>'Data Sheet'!I84</f>
        <v>-17504</v>
      </c>
      <c r="J6" s="6">
        <f>'Data Sheet'!J84</f>
        <v>-24161</v>
      </c>
      <c r="K6" s="6">
        <f>'Data Sheet'!K84</f>
        <v>-39786</v>
      </c>
    </row>
    <row r="7" spans="1:11" s="2" customFormat="1" x14ac:dyDescent="0.35">
      <c r="A7" s="2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405.72558057395139</v>
      </c>
    </row>
    <row r="7" spans="1:11" x14ac:dyDescent="0.35">
      <c r="A7" s="4" t="s">
        <v>31</v>
      </c>
      <c r="B7">
        <v>5</v>
      </c>
    </row>
    <row r="8" spans="1:11" x14ac:dyDescent="0.35">
      <c r="A8" s="4" t="s">
        <v>43</v>
      </c>
      <c r="B8">
        <v>1132.5</v>
      </c>
    </row>
    <row r="9" spans="1:11" x14ac:dyDescent="0.35">
      <c r="A9" s="4" t="s">
        <v>79</v>
      </c>
      <c r="B9">
        <v>459484.22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5">
      <c r="A18" s="4" t="s">
        <v>80</v>
      </c>
    </row>
    <row r="19" spans="1:11" s="6" customFormat="1" x14ac:dyDescent="0.35">
      <c r="A19" s="4" t="s">
        <v>81</v>
      </c>
    </row>
    <row r="20" spans="1:11" s="6" customFormat="1" x14ac:dyDescent="0.35">
      <c r="A20" s="4" t="s">
        <v>82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5">
      <c r="A21" s="4" t="s">
        <v>83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5">
      <c r="A22" s="4" t="s">
        <v>84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5">
      <c r="A23" s="4" t="s">
        <v>85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5">
      <c r="A24" s="4" t="s">
        <v>86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5">
      <c r="A25" s="6" t="s">
        <v>9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5">
      <c r="A26" s="6" t="s">
        <v>10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5">
      <c r="A27" s="6" t="s">
        <v>11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5">
      <c r="A28" s="6" t="s">
        <v>12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5">
      <c r="A29" s="6" t="s">
        <v>13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5">
      <c r="A30" s="6" t="s">
        <v>14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5">
      <c r="A31" s="6" t="s">
        <v>70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6" customFormat="1" x14ac:dyDescent="0.35">
      <c r="A43" s="6" t="s">
        <v>7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6" customFormat="1" x14ac:dyDescent="0.35">
      <c r="A44" s="6" t="s">
        <v>9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6" customFormat="1" x14ac:dyDescent="0.35">
      <c r="A45" s="6" t="s">
        <v>10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6" customFormat="1" x14ac:dyDescent="0.35">
      <c r="A46" s="6" t="s">
        <v>11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6" customFormat="1" x14ac:dyDescent="0.35">
      <c r="A47" s="6" t="s">
        <v>12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6" customFormat="1" x14ac:dyDescent="0.35">
      <c r="A48" s="6" t="s">
        <v>13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6" customFormat="1" x14ac:dyDescent="0.35">
      <c r="A49" s="6" t="s">
        <v>14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5">
      <c r="A50" s="6" t="s">
        <v>8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5">
      <c r="A58" s="6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5">
      <c r="A59" s="6" t="s">
        <v>71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5">
      <c r="A60" s="6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40885</v>
      </c>
      <c r="J60">
        <v>43750</v>
      </c>
      <c r="K60">
        <v>52260</v>
      </c>
    </row>
    <row r="61" spans="1:11" s="1" customFormat="1" x14ac:dyDescent="0.35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137360</v>
      </c>
      <c r="J61">
        <v>147795</v>
      </c>
      <c r="K61">
        <v>154288</v>
      </c>
    </row>
    <row r="62" spans="1:11" x14ac:dyDescent="0.35">
      <c r="A62" s="6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5">
      <c r="A63" s="6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5">
      <c r="A64" s="6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5">
      <c r="A65" s="6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84822</v>
      </c>
      <c r="J65">
        <v>92479</v>
      </c>
      <c r="K65">
        <v>98112</v>
      </c>
    </row>
    <row r="66" spans="1:11" s="1" customFormat="1" x14ac:dyDescent="0.35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137360</v>
      </c>
      <c r="J66">
        <v>147795</v>
      </c>
      <c r="K66">
        <v>154288</v>
      </c>
    </row>
    <row r="67" spans="1:11" s="6" customFormat="1" x14ac:dyDescent="0.35">
      <c r="A67" s="6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5">
      <c r="A68" s="6" t="s">
        <v>45</v>
      </c>
    </row>
    <row r="69" spans="1:11" x14ac:dyDescent="0.35">
      <c r="A69" s="4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5">
      <c r="A70" s="4" t="s">
        <v>74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5">
      <c r="A71" s="4" t="s">
        <v>75</v>
      </c>
      <c r="D71">
        <v>2184191490</v>
      </c>
    </row>
    <row r="72" spans="1:11" x14ac:dyDescent="0.35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5">
      <c r="A83" s="6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5">
      <c r="A84" s="6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5">
      <c r="A85" s="6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459.39</v>
      </c>
      <c r="C93" s="24">
        <v>436.82</v>
      </c>
      <c r="D93" s="24">
        <v>436.89</v>
      </c>
      <c r="E93" s="24">
        <v>425.9</v>
      </c>
      <c r="F93" s="24">
        <v>426.07</v>
      </c>
      <c r="G93" s="24">
        <v>420.67</v>
      </c>
      <c r="H93" s="24">
        <v>414.86</v>
      </c>
      <c r="I93" s="24">
        <v>415.09</v>
      </c>
      <c r="J93" s="24">
        <v>415.33</v>
      </c>
      <c r="K93" s="2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Jignesh Mehta</cp:lastModifiedBy>
  <cp:lastPrinted>2012-12-06T18:14:13Z</cp:lastPrinted>
  <dcterms:created xsi:type="dcterms:W3CDTF">2012-08-17T09:55:37Z</dcterms:created>
  <dcterms:modified xsi:type="dcterms:W3CDTF">2026-06-15T05:50:34Z</dcterms:modified>
</cp:coreProperties>
</file>